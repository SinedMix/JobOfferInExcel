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F:\__WORK\My projects\Excel\VBA. Job offer in Excel\"/>
    </mc:Choice>
  </mc:AlternateContent>
  <xr:revisionPtr revIDLastSave="0" documentId="13_ncr:1_{35E006EC-7C6A-494E-A7B1-B07B10AD5F43}" xr6:coauthVersionLast="47" xr6:coauthVersionMax="47" xr10:uidLastSave="{00000000-0000-0000-0000-000000000000}"/>
  <bookViews>
    <workbookView xWindow="4695" yWindow="1620" windowWidth="22260" windowHeight="13905" xr2:uid="{382E21C2-CE07-4D16-ABF7-12A1CFBE6BED}"/>
  </bookViews>
  <sheets>
    <sheet name="Предложение о работе" sheetId="2" r:id="rId1"/>
    <sheet name="ИКП" sheetId="3" r:id="rId2"/>
  </sheets>
  <definedNames>
    <definedName name="Company">ИКП!$B$3</definedName>
    <definedName name="DMS">ИКП!$B$12</definedName>
    <definedName name="FullName">"ddd"</definedName>
    <definedName name="ManagmentPositionOfStructureUnit">ИКП!$B$6</definedName>
    <definedName name="MonthlyBonus">ИКП!$B$11</definedName>
    <definedName name="PlaceOfWork">ИКП!$B$7</definedName>
    <definedName name="Position">ИКП!$B$4</definedName>
    <definedName name="ProbPeriod">ИКП!$B$14</definedName>
    <definedName name="Salary">ИКП!$B$10</definedName>
    <definedName name="SN">ИКП!$B$13</definedName>
    <definedName name="StructureUnit">ИКП!$B$5</definedName>
    <definedName name="TypeContract">ИКП!$B$15</definedName>
    <definedName name="TypeEmployment">ИКП!$B$8</definedName>
    <definedName name="WorkSchedule">ИКП!$B$9</definedName>
    <definedName name="_xlnm.Print_Area" localSheetId="0">'Предложение о работе'!$A$1:$I$19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  <c r="B9" i="2"/>
  <c r="B6" i="2"/>
  <c r="B5" i="2"/>
  <c r="B4" i="2"/>
  <c r="B1" i="2"/>
  <c r="B3" i="2"/>
</calcChain>
</file>

<file path=xl/sharedStrings.xml><?xml version="1.0" encoding="utf-8"?>
<sst xmlns="http://schemas.openxmlformats.org/spreadsheetml/2006/main" count="35" uniqueCount="35">
  <si>
    <t>Компания</t>
  </si>
  <si>
    <t>Должность руководителя структурного подразделения</t>
  </si>
  <si>
    <t>Место работы</t>
  </si>
  <si>
    <t>Вид занятости</t>
  </si>
  <si>
    <t>График работы</t>
  </si>
  <si>
    <t>ДМС</t>
  </si>
  <si>
    <t xml:space="preserve">Вид трудового договора </t>
  </si>
  <si>
    <t>Оклад</t>
  </si>
  <si>
    <t>Ежемесячная премия</t>
  </si>
  <si>
    <t>Длительность испытания</t>
  </si>
  <si>
    <t>ФИО</t>
  </si>
  <si>
    <t>Должность</t>
  </si>
  <si>
    <t>Структурное подразделение</t>
  </si>
  <si>
    <t>Ваш доход будет состоять из:</t>
  </si>
  <si>
    <t>Также мы заботимся о здоровье сотрудников и предоставляем систему льгот и компенсаций:</t>
  </si>
  <si>
    <t>Страхование от несчастных случаев и болезней</t>
  </si>
  <si>
    <t>Параметр</t>
  </si>
  <si>
    <t>Значение</t>
  </si>
  <si>
    <t xml:space="preserve">С условиями предложения о работе ознакомлен и согласен «___» __________ 20___ г.  </t>
  </si>
  <si>
    <t>Дата выхода «___» _____________ 20___ г.</t>
  </si>
  <si>
    <t>__________________________________________</t>
  </si>
  <si>
    <t xml:space="preserve">      ФИО, подпись</t>
  </si>
  <si>
    <t>Михайлов Денис Николаевич</t>
  </si>
  <si>
    <t>Москва</t>
  </si>
  <si>
    <t>ООО "Зори"</t>
  </si>
  <si>
    <t>Главный специалист</t>
  </si>
  <si>
    <t>Управление по аналитике</t>
  </si>
  <si>
    <t>1 месяц</t>
  </si>
  <si>
    <t>бессрочный</t>
  </si>
  <si>
    <t>полный офис</t>
  </si>
  <si>
    <t>сменный график</t>
  </si>
  <si>
    <t/>
  </si>
  <si>
    <t>Директор по данным</t>
  </si>
  <si>
    <t>- ДМС.</t>
  </si>
  <si>
    <t>- Страхование от несчастных случаев и болезней.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</si>
</sst>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₽&quot;_-;\-* #,##0.00\ &quot;₽&quot;_-;_-* &quot;-&quot;??\ &quot;₽&quot;_-;_-@_-"/>
  </numFmts>
  <fonts count="9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44" fontId="0" fillId="0" borderId="0" xfId="1" applyFont="1"/>
    <xf numFmtId="9" fontId="0" fillId="0" borderId="0" xfId="2" applyFont="1"/>
    <xf numFmtId="0" fontId="5" fillId="0" borderId="0" xfId="0" applyFont="1" applyAlignment="1">
      <alignment horizontal="justify" wrapText="1"/>
    </xf>
    <xf numFmtId="0" fontId="1" fillId="0" borderId="0" xfId="0" applyFont="1" applyAlignment="1">
      <alignment horizontal="left" indent="10"/>
    </xf>
    <xf numFmtId="0" fontId="3" fillId="0" borderId="0" xfId="0" applyFont="1" applyAlignment="1">
      <alignment horizontal="center"/>
    </xf>
    <xf numFmtId="0" fontId="1" fillId="0" borderId="0" xfId="0" quotePrefix="1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5"/>
    </xf>
    <xf numFmtId="0" fontId="4" fillId="0" borderId="0" xfId="0" applyFont="1" applyAlignment="1">
      <alignment horizontal="left" vertical="center" wrapText="1" indent="5"/>
    </xf>
    <xf numFmtId="0" fontId="2" fillId="0" borderId="0" xfId="0" applyFont="1" applyAlignment="1">
      <alignment horizontal="justify"/>
    </xf>
    <xf numFmtId="0" fontId="8" fillId="0" borderId="0" xfId="0" applyFont="1" applyAlignment="1">
      <alignment horizontal="justify" vertical="center" wrapText="1"/>
    </xf>
    <xf numFmtId="0" fontId="5" fillId="0" borderId="0" xfId="0" applyFont="1" applyAlignment="1">
      <alignment horizontal="justify" vertical="center" wrapText="1"/>
    </xf>
  </cellXfs>
  <cellStyles count="3">
    <cellStyle name="Денежный" xfId="1" builtinId="4"/>
    <cellStyle name="Обычный" xfId="0" builtinId="0"/>
    <cellStyle name="Процентный" xfId="2" builtinId="5"/>
  </cellStyles>
  <dxfs count="1"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104775</xdr:rowOff>
        </xdr:from>
        <xdr:to>
          <xdr:col>12</xdr:col>
          <xdr:colOff>200025</xdr:colOff>
          <xdr:row>3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ИКП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951713-EBEE-4AD8-BF5C-7B9D3186593F}" name="ИКП" displayName="ИКП" ref="A1:B15" totalsRowShown="0">
  <autoFilter ref="A1:B15" xr:uid="{BE951713-EBEE-4AD8-BF5C-7B9D3186593F}"/>
  <tableColumns count="2">
    <tableColumn id="1" xr3:uid="{3D909A78-8EA5-4663-B30C-C443B62D0C4B}" name="Параметр" dataDxfId="0"/>
    <tableColumn id="2" xr3:uid="{A76D2649-8F39-4880-AA3C-ED58580E1BA2}" name="Значе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6EF60-DB2F-4AB0-9AB2-86E40A347531}">
  <sheetPr codeName="JobOffer">
    <pageSetUpPr fitToPage="1"/>
  </sheetPr>
  <dimension ref="B1:H18"/>
  <sheetViews>
    <sheetView tabSelected="1" view="pageBreakPreview" zoomScale="73" zoomScaleNormal="73" zoomScaleSheetLayoutView="73" workbookViewId="0">
      <selection activeCell="K9" sqref="K9"/>
    </sheetView>
  </sheetViews>
  <sheetFormatPr defaultRowHeight="15.75" x14ac:dyDescent="0.25"/>
  <cols>
    <col min="1" max="1" width="5" customWidth="1"/>
    <col min="2" max="2" width="9.140625" style="1" customWidth="1"/>
    <col min="3" max="6" width="12.28515625" style="1" customWidth="1"/>
    <col min="7" max="7" width="7.28515625" style="1" customWidth="1"/>
    <col min="8" max="8" width="27.85546875" style="1" customWidth="1"/>
    <col min="9" max="9" width="3.7109375" customWidth="1"/>
  </cols>
  <sheetData>
    <row r="1" spans="2:8" ht="18.75" x14ac:dyDescent="0.3">
      <c r="B1" s="7" t="str">
        <f>"Уважаемый "&amp;MID(ИКП!$B$2,SEARCH(" ",ИКП!$B$2,1)+1,LEN(ИКП!$B$2))&amp;"!"</f>
        <v>Уважаемый Денис Николаевич!</v>
      </c>
      <c r="C1" s="7"/>
      <c r="D1" s="7"/>
      <c r="E1" s="7"/>
      <c r="F1" s="7"/>
      <c r="G1" s="7"/>
      <c r="H1" s="7"/>
    </row>
    <row r="2" spans="2:8" x14ac:dyDescent="0.25">
      <c r="B2" s="8"/>
      <c r="C2" s="9"/>
      <c r="D2" s="9"/>
      <c r="E2" s="9"/>
      <c r="F2" s="9"/>
      <c r="G2" s="9"/>
      <c r="H2" s="9"/>
    </row>
    <row r="3" spans="2:8" x14ac:dyDescent="0.25">
      <c r="B3" s="5" t="str">
        <f>CONCATENATE(MID(ИКП!$B$2,SEARCH(" ",ИКП!$B$2,1)+1,LEN(ИКП!$B$2)),", мы будет рады видеть Вас в компании!")</f>
        <v>Денис Николаевич, мы будет рады видеть Вас в компании!</v>
      </c>
      <c r="C3" s="5"/>
      <c r="D3" s="5"/>
      <c r="E3" s="5"/>
      <c r="F3" s="5"/>
      <c r="G3" s="5"/>
      <c r="H3" s="5"/>
    </row>
    <row r="4" spans="2:8" ht="48" customHeight="1" x14ac:dyDescent="0.25">
      <c r="B4" s="5" t="str">
        <f>"Мы предлагаем Вам присоединиться к команде "&amp;ИКП!$B$3&amp;" на должность "&amp;ИКП!$B$4&amp;" в "&amp;ИКП!$B$5&amp;". Местом Вашей работы будет г."&amp;ИКП!$B$7&amp;". Вашим руководителем будет "&amp;ИКП!$B$6&amp;"."</f>
        <v>Мы предлагаем Вам присоединиться к команде ООО "Зори" на должность Главный специалист в Управление по аналитике. Местом Вашей работы будет г.Москва. Вашим руководителем будет Директор по данным.</v>
      </c>
      <c r="C4" s="5"/>
      <c r="D4" s="5"/>
      <c r="E4" s="5"/>
      <c r="F4" s="5"/>
      <c r="G4" s="5"/>
      <c r="H4" s="5"/>
    </row>
    <row r="5" spans="2:8" x14ac:dyDescent="0.25">
      <c r="B5" s="5" t="str">
        <f>"Вам будет установлен следующий график работы: "&amp;ИКП!$B$9&amp;" с "&amp;IF(ИКП!$B$8="полный офис","полной",IF(ИКП!$B$8&amp;"гибрид","гибридной",IF(ИКП!$B$8="удаленка","удаленной","ОШИБКА")))&amp;" занятостью."</f>
        <v>Вам будет установлен следующий график работы: сменный график с полной занятостью.</v>
      </c>
      <c r="C5" s="5"/>
      <c r="D5" s="5"/>
      <c r="E5" s="5"/>
      <c r="F5" s="5"/>
      <c r="G5" s="5"/>
      <c r="H5" s="5"/>
    </row>
    <row r="6" spans="2:8" ht="30" customHeight="1" x14ac:dyDescent="0.25">
      <c r="B6" s="5" t="str">
        <f>"Мы предлагаем оформление по "&amp;IF(ИКП!$B$15="бессрочный", "бессрочному",IF(ИКП!$B$15="срочный","срочному","ОШИБКА"))&amp;" трудовому договору с испытанием в "&amp;ИКП!$B$14&amp;"."</f>
        <v>Мы предлагаем оформление по бессрочному трудовому договору с испытанием в 1 месяц.</v>
      </c>
      <c r="C6" s="5"/>
      <c r="D6" s="5"/>
      <c r="E6" s="5"/>
      <c r="F6" s="5"/>
      <c r="G6" s="5"/>
      <c r="H6" s="5"/>
    </row>
    <row r="7" spans="2:8" x14ac:dyDescent="0.25">
      <c r="B7" s="11" t="s">
        <v>31</v>
      </c>
      <c r="C7" s="11"/>
      <c r="D7" s="11"/>
      <c r="E7" s="11"/>
      <c r="F7" s="11"/>
      <c r="G7" s="11"/>
      <c r="H7" s="11"/>
    </row>
    <row r="8" spans="2:8" x14ac:dyDescent="0.25">
      <c r="B8" s="12" t="s">
        <v>13</v>
      </c>
      <c r="C8" s="12"/>
      <c r="D8" s="12"/>
      <c r="E8" s="12"/>
      <c r="F8" s="12"/>
      <c r="G8" s="12"/>
      <c r="H8" s="12"/>
    </row>
    <row r="9" spans="2:8" x14ac:dyDescent="0.25">
      <c r="B9" s="14" t="str">
        <f>"- Заработной платы, установленной в размере "&amp;TEXT(ИКП!$B$10,"0 0")&amp;" рублей."</f>
        <v>- Заработной платы, установленной в размере 100 000 рублей.</v>
      </c>
      <c r="C9" s="14"/>
      <c r="D9" s="14"/>
      <c r="E9" s="14"/>
      <c r="F9" s="14"/>
      <c r="G9" s="14"/>
      <c r="H9" s="14"/>
    </row>
    <row r="10" spans="2:8" ht="47.45" customHeight="1" x14ac:dyDescent="0.25">
      <c r="B10" s="5" t="str">
        <f>"- Ежегодной премии (стимулирующей выплаты), целевой размер которой составляет "&amp;TEXT(ИКП!$B$11,"0%")&amp;", премия рассчитывается и выплачивается в соответствии с локальными нормативными актами компании"</f>
        <v>- Ежегодной премии (стимулирующей выплаты), целевой размер которой составляет 10%, премия рассчитывается и выплачивается в соответствии с локальными нормативными актами компании</v>
      </c>
      <c r="C10" s="5"/>
      <c r="D10" s="5"/>
      <c r="E10" s="5"/>
      <c r="F10" s="5"/>
      <c r="G10" s="5"/>
      <c r="H10" s="5"/>
    </row>
    <row r="11" spans="2:8" x14ac:dyDescent="0.25">
      <c r="B11" s="13" t="s">
        <v>14</v>
      </c>
      <c r="C11" s="13"/>
      <c r="D11" s="13"/>
      <c r="E11" s="13"/>
      <c r="F11" s="13"/>
      <c r="G11" s="13"/>
      <c r="H11" s="13"/>
    </row>
    <row r="12" spans="2:8" x14ac:dyDescent="0.25">
      <c r="B12" s="5" t="s">
        <v>33</v>
      </c>
      <c r="C12" s="5"/>
      <c r="D12" s="5"/>
      <c r="E12" s="5"/>
      <c r="F12" s="5"/>
      <c r="G12" s="5"/>
      <c r="H12" s="5"/>
    </row>
    <row r="13" spans="2:8" x14ac:dyDescent="0.25">
      <c r="B13" s="5" t="s">
        <v>34</v>
      </c>
      <c r="C13" s="5"/>
      <c r="D13" s="5"/>
      <c r="E13" s="5"/>
      <c r="F13" s="5"/>
      <c r="G13" s="5"/>
      <c r="H13" s="5"/>
    </row>
    <row r="15" spans="2:8" x14ac:dyDescent="0.25">
      <c r="B15" s="5" t="s">
        <v>18</v>
      </c>
      <c r="C15" s="5"/>
      <c r="D15" s="5"/>
      <c r="E15" s="5"/>
      <c r="F15" s="5"/>
      <c r="G15" s="5"/>
      <c r="H15" s="5"/>
    </row>
    <row r="16" spans="2:8" x14ac:dyDescent="0.25">
      <c r="B16" s="5" t="s">
        <v>19</v>
      </c>
      <c r="C16" s="5"/>
      <c r="D16" s="5"/>
      <c r="E16" s="5"/>
      <c r="F16" s="5"/>
      <c r="G16" s="5"/>
      <c r="H16" s="5"/>
    </row>
    <row r="17" spans="2:8" x14ac:dyDescent="0.25">
      <c r="B17" s="10" t="s">
        <v>20</v>
      </c>
      <c r="C17" s="10"/>
      <c r="D17" s="10"/>
      <c r="E17" s="10"/>
      <c r="F17" s="10"/>
      <c r="G17" s="10"/>
      <c r="H17" s="10"/>
    </row>
    <row r="18" spans="2:8" x14ac:dyDescent="0.25">
      <c r="B18" s="6" t="s">
        <v>21</v>
      </c>
      <c r="C18" s="6"/>
      <c r="D18" s="6"/>
      <c r="E18" s="6"/>
      <c r="F18" s="6"/>
      <c r="G18" s="6"/>
      <c r="H18" s="6"/>
    </row>
  </sheetData>
  <mergeCells count="17">
    <mergeCell ref="B9:H9"/>
    <mergeCell ref="B10:H10"/>
    <mergeCell ref="B18:H18"/>
    <mergeCell ref="B1:H1"/>
    <mergeCell ref="B2:H2"/>
    <mergeCell ref="B15:H15"/>
    <mergeCell ref="B16:H16"/>
    <mergeCell ref="B17:H17"/>
    <mergeCell ref="B7:H7"/>
    <mergeCell ref="B8:H8"/>
    <mergeCell ref="B3:H3"/>
    <mergeCell ref="B4:H4"/>
    <mergeCell ref="B5:H5"/>
    <mergeCell ref="B6:H6"/>
    <mergeCell ref="B11:H11"/>
    <mergeCell ref="B12:H12"/>
    <mergeCell ref="B13:H13"/>
  </mergeCells>
  <pageMargins left="0.7" right="0.7" top="0.75" bottom="0.75" header="0.3" footer="0.3"/>
  <pageSetup scale="8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lUserForm">
                <anchor moveWithCells="1" sizeWithCells="1">
                  <from>
                    <xdr:col>9</xdr:col>
                    <xdr:colOff>390525</xdr:colOff>
                    <xdr:row>1</xdr:row>
                    <xdr:rowOff>104775</xdr:rowOff>
                  </from>
                  <to>
                    <xdr:col>12</xdr:col>
                    <xdr:colOff>200025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6D5E-923D-4F78-93C6-497048A87634}">
  <sheetPr codeName="ICP"/>
  <dimension ref="A1:B15"/>
  <sheetViews>
    <sheetView workbookViewId="0">
      <selection activeCell="B7" sqref="B7"/>
    </sheetView>
  </sheetViews>
  <sheetFormatPr defaultRowHeight="15" x14ac:dyDescent="0.25"/>
  <cols>
    <col min="1" max="1" width="38.7109375" customWidth="1"/>
    <col min="2" max="2" width="39.7109375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2" t="s">
        <v>10</v>
      </c>
      <c r="B2" t="s">
        <v>22</v>
      </c>
    </row>
    <row r="3" spans="1:2" x14ac:dyDescent="0.25">
      <c r="A3" s="2" t="s">
        <v>0</v>
      </c>
      <c r="B3" t="s">
        <v>24</v>
      </c>
    </row>
    <row r="4" spans="1:2" x14ac:dyDescent="0.25">
      <c r="A4" s="2" t="s">
        <v>11</v>
      </c>
      <c r="B4" t="s">
        <v>25</v>
      </c>
    </row>
    <row r="5" spans="1:2" x14ac:dyDescent="0.25">
      <c r="A5" s="2" t="s">
        <v>12</v>
      </c>
      <c r="B5" t="s">
        <v>26</v>
      </c>
    </row>
    <row r="6" spans="1:2" ht="30" x14ac:dyDescent="0.25">
      <c r="A6" s="2" t="s">
        <v>1</v>
      </c>
      <c r="B6" t="s">
        <v>32</v>
      </c>
    </row>
    <row r="7" spans="1:2" x14ac:dyDescent="0.25">
      <c r="A7" s="2" t="s">
        <v>2</v>
      </c>
      <c r="B7" t="s">
        <v>23</v>
      </c>
    </row>
    <row r="8" spans="1:2" x14ac:dyDescent="0.25">
      <c r="A8" s="2" t="s">
        <v>3</v>
      </c>
      <c r="B8" t="s">
        <v>29</v>
      </c>
    </row>
    <row r="9" spans="1:2" x14ac:dyDescent="0.25">
      <c r="A9" s="2" t="s">
        <v>4</v>
      </c>
      <c r="B9" t="s">
        <v>30</v>
      </c>
    </row>
    <row r="10" spans="1:2" x14ac:dyDescent="0.25">
      <c r="A10" s="2" t="s">
        <v>7</v>
      </c>
      <c r="B10" s="3">
        <v>100000</v>
      </c>
    </row>
    <row r="11" spans="1:2" x14ac:dyDescent="0.25">
      <c r="A11" s="2" t="s">
        <v>8</v>
      </c>
      <c r="B11" s="4">
        <v>0.1</v>
      </c>
    </row>
    <row r="12" spans="1:2" x14ac:dyDescent="0.25">
      <c r="A12" s="2" t="s">
        <v>5</v>
      </c>
      <c r="B12">
        <v>1</v>
      </c>
    </row>
    <row r="13" spans="1:2" ht="30" x14ac:dyDescent="0.25">
      <c r="A13" s="2" t="s">
        <v>15</v>
      </c>
      <c r="B13">
        <v>1</v>
      </c>
    </row>
    <row r="14" spans="1:2" x14ac:dyDescent="0.25">
      <c r="A14" s="2" t="s">
        <v>9</v>
      </c>
      <c r="B14" t="s">
        <v>27</v>
      </c>
    </row>
    <row r="15" spans="1:2" x14ac:dyDescent="0.25">
      <c r="A15" s="2" t="s">
        <v>6</v>
      </c>
      <c r="B15" t="s">
        <v>28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Предложение о работе</vt:lpstr>
      <vt:lpstr>ИКП</vt:lpstr>
      <vt:lpstr>Company</vt:lpstr>
      <vt:lpstr>DMS</vt:lpstr>
      <vt:lpstr>ManagmentPositionOfStructureUnit</vt:lpstr>
      <vt:lpstr>MonthlyBonus</vt:lpstr>
      <vt:lpstr>PlaceOfWork</vt:lpstr>
      <vt:lpstr>Position</vt:lpstr>
      <vt:lpstr>ProbPeriod</vt:lpstr>
      <vt:lpstr>Salary</vt:lpstr>
      <vt:lpstr>SN</vt:lpstr>
      <vt:lpstr>StructureUnit</vt:lpstr>
      <vt:lpstr>TypeContract</vt:lpstr>
      <vt:lpstr>TypeEmployment</vt:lpstr>
      <vt:lpstr>WorkSchedule</vt:lpstr>
      <vt:lpstr>'Предложение о работе'!Область_печати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Михайлов</dc:creator>
  <cp:lastModifiedBy>Денис Михайлов</cp:lastModifiedBy>
  <cp:lastPrinted>2023-09-25T09:16:36Z</cp:lastPrinted>
  <dcterms:created xsi:type="dcterms:W3CDTF">2023-09-23T16:38:27Z</dcterms:created>
  <dcterms:modified xsi:type="dcterms:W3CDTF">2023-09-25T09:20:42Z</dcterms:modified>
</cp:coreProperties>
</file>